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kris\ceibatic\products\alquemist\docs\reports\"/>
    </mc:Choice>
  </mc:AlternateContent>
  <xr:revisionPtr revIDLastSave="0" documentId="13_ncr:1_{F7DB32F5-575A-44D9-A7CB-F8B4C116C7AA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Gastos Dev-Inf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6" i="1"/>
  <c r="G17" i="1"/>
  <c r="G14" i="1"/>
  <c r="G7" i="1"/>
  <c r="G8" i="1"/>
  <c r="G9" i="1"/>
  <c r="G11" i="1"/>
  <c r="G12" i="1"/>
  <c r="G6" i="1"/>
  <c r="F12" i="1"/>
  <c r="E12" i="1"/>
  <c r="D12" i="1"/>
  <c r="C12" i="1"/>
  <c r="F11" i="1"/>
  <c r="E11" i="1"/>
  <c r="E17" i="1" s="1"/>
  <c r="D11" i="1"/>
  <c r="D17" i="1" s="1"/>
  <c r="C11" i="1"/>
  <c r="C17" i="1" s="1"/>
  <c r="B11" i="1"/>
  <c r="B14" i="1" s="1"/>
  <c r="B12" i="1"/>
  <c r="E15" i="1" l="1"/>
  <c r="E16" i="1"/>
  <c r="B16" i="1"/>
  <c r="E14" i="1"/>
  <c r="C16" i="1"/>
  <c r="D14" i="1"/>
  <c r="D16" i="1"/>
  <c r="D15" i="1"/>
  <c r="C15" i="1"/>
  <c r="B15" i="1"/>
  <c r="B17" i="1"/>
  <c r="C14" i="1"/>
</calcChain>
</file>

<file path=xl/sharedStrings.xml><?xml version="1.0" encoding="utf-8"?>
<sst xmlns="http://schemas.openxmlformats.org/spreadsheetml/2006/main" count="15" uniqueCount="15">
  <si>
    <t>Alquemist — Reporte de Gastos Dev/Infra</t>
  </si>
  <si>
    <t>Período: Noviembre 2025 - Febrero 2026</t>
  </si>
  <si>
    <t>Moneda: USD</t>
  </si>
  <si>
    <t>Servicio</t>
  </si>
  <si>
    <t>Total</t>
  </si>
  <si>
    <t>Vercel Pro (1 plan)</t>
  </si>
  <si>
    <t>Claude Max (1 cuenta)</t>
  </si>
  <si>
    <t>Google Workspace Starter (1 agrodinamic)</t>
  </si>
  <si>
    <t>Google Workspace Starter (1 alquemist)</t>
  </si>
  <si>
    <t>Maria Camila (16.6%)</t>
  </si>
  <si>
    <t>Ernesto  (16.6%)</t>
  </si>
  <si>
    <t>David  (16.6%)</t>
  </si>
  <si>
    <t>Cristian  (50%)</t>
  </si>
  <si>
    <t>TOTAL COMPARTIDO</t>
  </si>
  <si>
    <t>TOTAL AGRODINAMIC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</si>
</sst>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"/>
  </numFmts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0" fillId="0" borderId="0" xfId="0"/>
    <xf numFmtId="17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17" sqref="A1:G17"/>
    </sheetView>
  </sheetViews>
  <sheetFormatPr defaultRowHeight="15" x14ac:dyDescent="0.25"/>
  <cols>
    <col min="1" max="1" width="38.875" customWidth="1"/>
    <col min="2" max="6" width="12.875" customWidth="1"/>
    <col min="8" max="8" width="13.875" customWidth="1"/>
  </cols>
  <sheetData>
    <row r="1" spans="1:7" ht="15.75" x14ac:dyDescent="0.25">
      <c r="A1" s="2" t="s">
        <v>0</v>
      </c>
      <c r="B1" s="2"/>
      <c r="C1" s="2"/>
      <c r="D1" s="2"/>
      <c r="E1" s="2"/>
      <c r="F1" s="2"/>
    </row>
    <row r="2" spans="1:7" ht="15.75" x14ac:dyDescent="0.25">
      <c r="A2" s="2" t="s">
        <v>1</v>
      </c>
      <c r="B2" s="2"/>
      <c r="C2" s="2"/>
      <c r="D2" s="2"/>
      <c r="E2" s="2"/>
      <c r="F2" s="2"/>
    </row>
    <row r="3" spans="1:7" ht="15.75" x14ac:dyDescent="0.25">
      <c r="A3" s="2" t="s">
        <v>2</v>
      </c>
      <c r="B3" s="2"/>
      <c r="C3" s="2"/>
      <c r="D3" s="2"/>
      <c r="E3" s="2"/>
      <c r="F3" s="2"/>
    </row>
    <row r="5" spans="1:7" ht="15.75" x14ac:dyDescent="0.25">
      <c r="A5" t="s">
        <v>3</v>
      </c>
      <c r="B5" s="3">
        <v>45962</v>
      </c>
      <c r="C5" s="3">
        <v>45992</v>
      </c>
      <c r="D5" s="3">
        <v>45658</v>
      </c>
      <c r="E5" s="3">
        <v>45689</v>
      </c>
      <c r="F5" s="3">
        <v>46082</v>
      </c>
      <c r="G5" t="s">
        <v>4</v>
      </c>
    </row>
    <row r="6" spans="1:7" ht="15.75" x14ac:dyDescent="0.25">
      <c r="A6" t="s">
        <v>7</v>
      </c>
      <c r="B6" s="1">
        <v>7.2</v>
      </c>
      <c r="C6" s="1">
        <v>7.2</v>
      </c>
      <c r="D6" s="1">
        <v>7.2</v>
      </c>
      <c r="E6" s="1">
        <v>7.2</v>
      </c>
      <c r="F6" s="1">
        <v>7.2</v>
      </c>
      <c r="G6" s="1">
        <f>SUM(B6:F6)</f>
        <v>36</v>
      </c>
    </row>
    <row r="7" spans="1:7" ht="15.75" x14ac:dyDescent="0.25">
      <c r="A7" t="s">
        <v>8</v>
      </c>
      <c r="B7" s="1"/>
      <c r="C7" s="1"/>
      <c r="D7" s="1"/>
      <c r="E7" s="1">
        <v>7.2</v>
      </c>
      <c r="F7" s="1">
        <v>7.2</v>
      </c>
      <c r="G7" s="1">
        <f t="shared" ref="G7:G17" si="0">SUM(B7:F7)</f>
        <v>14.4</v>
      </c>
    </row>
    <row r="8" spans="1:7" ht="15.75" x14ac:dyDescent="0.25">
      <c r="A8" t="s">
        <v>6</v>
      </c>
      <c r="B8" s="1">
        <v>50</v>
      </c>
      <c r="C8" s="1">
        <v>50</v>
      </c>
      <c r="D8" s="1">
        <v>50</v>
      </c>
      <c r="E8" s="1">
        <v>50</v>
      </c>
      <c r="F8" s="1">
        <v>50</v>
      </c>
      <c r="G8" s="1">
        <f t="shared" si="0"/>
        <v>250</v>
      </c>
    </row>
    <row r="9" spans="1:7" ht="15.75" x14ac:dyDescent="0.25">
      <c r="A9" t="s">
        <v>5</v>
      </c>
      <c r="B9" s="1"/>
      <c r="C9" s="1"/>
      <c r="D9" s="1"/>
      <c r="E9" s="1">
        <v>20</v>
      </c>
      <c r="F9" s="1">
        <v>20</v>
      </c>
      <c r="G9" s="1">
        <f t="shared" si="0"/>
        <v>40</v>
      </c>
    </row>
    <row r="10" spans="1:7" x14ac:dyDescent="0.25">
      <c r="G10" s="1"/>
    </row>
    <row r="11" spans="1:7" ht="15.75" x14ac:dyDescent="0.25">
      <c r="A11" s="8" t="s">
        <v>13</v>
      </c>
      <c r="B11" s="9">
        <f>SUM(B7:B10)</f>
        <v>50</v>
      </c>
      <c r="C11" s="9">
        <f>SUM(C7:C10)</f>
        <v>50</v>
      </c>
      <c r="D11" s="9">
        <f>SUM(D7:D10)</f>
        <v>50</v>
      </c>
      <c r="E11" s="9">
        <f>SUM(E7:E10)</f>
        <v>77.2</v>
      </c>
      <c r="F11" s="9">
        <f>SUM(F7:F10)</f>
        <v>77.2</v>
      </c>
      <c r="G11" s="9">
        <f t="shared" si="0"/>
        <v>304.39999999999998</v>
      </c>
    </row>
    <row r="12" spans="1:7" ht="15.75" x14ac:dyDescent="0.25">
      <c r="A12" s="6" t="s">
        <v>14</v>
      </c>
      <c r="B12" s="7">
        <f>B6</f>
        <v>7.2</v>
      </c>
      <c r="C12" s="7">
        <f>C6</f>
        <v>7.2</v>
      </c>
      <c r="D12" s="7">
        <f>D6</f>
        <v>7.2</v>
      </c>
      <c r="E12" s="7">
        <f>E6</f>
        <v>7.2</v>
      </c>
      <c r="F12" s="7">
        <f>F6</f>
        <v>7.2</v>
      </c>
      <c r="G12" s="7">
        <f t="shared" si="0"/>
        <v>36</v>
      </c>
    </row>
    <row r="13" spans="1:7" ht="15.75" x14ac:dyDescent="0.25"/>
    <row r="14" spans="1:7" ht="15.75" x14ac:dyDescent="0.25">
      <c r="A14" s="4" t="s">
        <v>9</v>
      </c>
      <c r="B14" s="5">
        <f>B$11*(0.5/3)</f>
        <v>8.3333333333333321</v>
      </c>
      <c r="C14" s="5">
        <f>C$11*(0.5/3)</f>
        <v>8.3333333333333321</v>
      </c>
      <c r="D14" s="5">
        <f t="shared" ref="D14:F16" si="1">D$11*(0.5/3)</f>
        <v>8.3333333333333321</v>
      </c>
      <c r="E14" s="5">
        <f t="shared" si="1"/>
        <v>12.866666666666667</v>
      </c>
      <c r="F14" s="5"/>
      <c r="G14" s="7">
        <f t="shared" si="0"/>
        <v>37.86666666666666</v>
      </c>
    </row>
    <row r="15" spans="1:7" ht="15.75" x14ac:dyDescent="0.25">
      <c r="A15" s="4" t="s">
        <v>10</v>
      </c>
      <c r="B15" s="5">
        <f t="shared" ref="B15:C16" si="2">B$11*(0.5/3)</f>
        <v>8.3333333333333321</v>
      </c>
      <c r="C15" s="5">
        <f t="shared" si="2"/>
        <v>8.3333333333333321</v>
      </c>
      <c r="D15" s="5">
        <f t="shared" si="1"/>
        <v>8.3333333333333321</v>
      </c>
      <c r="E15" s="5">
        <f t="shared" si="1"/>
        <v>12.866666666666667</v>
      </c>
      <c r="F15" s="5"/>
      <c r="G15" s="7">
        <f t="shared" si="0"/>
        <v>37.86666666666666</v>
      </c>
    </row>
    <row r="16" spans="1:7" ht="15.75" x14ac:dyDescent="0.25">
      <c r="A16" s="4" t="s">
        <v>11</v>
      </c>
      <c r="B16" s="5">
        <f t="shared" si="2"/>
        <v>8.3333333333333321</v>
      </c>
      <c r="C16" s="5">
        <f t="shared" si="2"/>
        <v>8.3333333333333321</v>
      </c>
      <c r="D16" s="5">
        <f t="shared" si="1"/>
        <v>8.3333333333333321</v>
      </c>
      <c r="E16" s="5">
        <f t="shared" si="1"/>
        <v>12.866666666666667</v>
      </c>
      <c r="F16" s="5"/>
      <c r="G16" s="7">
        <f t="shared" si="0"/>
        <v>37.86666666666666</v>
      </c>
    </row>
    <row r="17" spans="1:7" ht="15.75" x14ac:dyDescent="0.25">
      <c r="A17" s="4" t="s">
        <v>12</v>
      </c>
      <c r="B17" s="5">
        <f>B$11*(0.5)</f>
        <v>25</v>
      </c>
      <c r="C17" s="5">
        <f t="shared" ref="C17:F17" si="3">C$11*(0.5)</f>
        <v>25</v>
      </c>
      <c r="D17" s="5">
        <f t="shared" si="3"/>
        <v>25</v>
      </c>
      <c r="E17" s="5">
        <f t="shared" si="3"/>
        <v>38.6</v>
      </c>
      <c r="F17" s="5"/>
      <c r="G17" s="7">
        <f t="shared" si="0"/>
        <v>113.6</v>
      </c>
    </row>
    <row r="18" spans="1:7" ht="15.75" x14ac:dyDescent="0.25"/>
  </sheetData>
  <mergeCells count="3">
    <mergeCell ref="A1:F1"/>
    <mergeCell ref="A2:F2"/>
    <mergeCell ref="A3:F3"/>
  </mergeCells>
  <pageMargins left="0.7" right="0.7" top="0.75" bottom="0.75" header="0.3" footer="0.3"/>
  <ignoredErrors>
    <ignoredError sqref="A1:F4 A10:E10 B6:E6 A5 A9 E9" numberStoredAsText="1"/>
    <ignoredError sqref="B11:F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 Dev-Infra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D. Goyeneche</cp:lastModifiedBy>
  <dcterms:modified xsi:type="dcterms:W3CDTF">2026-02-12T02:39:48Z</dcterms:modified>
</cp:coreProperties>
</file>